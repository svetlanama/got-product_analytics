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mework" sheetId="1" state="visible" r:id="rId1"/>
    <sheet xmlns:r="http://schemas.openxmlformats.org/officeDocument/2006/relationships" name="les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b val="1"/>
      <sz val="14"/>
    </font>
    <font>
      <b val="1"/>
      <sz val="12"/>
    </font>
    <font>
      <i val="1"/>
      <sz val="9"/>
    </font>
    <font>
      <b val="1"/>
    </font>
    <font>
      <b val="1"/>
      <sz val="13"/>
    </font>
  </fonts>
  <fills count="5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pivotButton="0" quotePrefix="0" xfId="0"/>
    <xf numFmtId="0" fontId="1" fillId="2" borderId="0" pivotButton="0" quotePrefix="0" xfId="0"/>
    <xf numFmtId="0" fontId="1" fillId="0" borderId="2" applyAlignment="1" pivotButton="0" quotePrefix="0" xfId="0">
      <alignment vertical="center"/>
    </xf>
    <xf numFmtId="0" fontId="3" fillId="0" borderId="3" pivotButton="0" quotePrefix="0" xfId="0"/>
    <xf numFmtId="0" fontId="1" fillId="0" borderId="4" applyAlignment="1" pivotButton="0" quotePrefix="0" xfId="0">
      <alignment vertical="top"/>
    </xf>
    <xf numFmtId="0" fontId="1" fillId="0" borderId="0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1" fillId="0" borderId="4" applyAlignment="1" pivotButton="0" quotePrefix="0" xfId="0">
      <alignment vertical="top"/>
    </xf>
    <xf numFmtId="0" fontId="3" fillId="0" borderId="8" pivotButton="0" quotePrefix="0" xfId="0"/>
    <xf numFmtId="0" fontId="1" fillId="0" borderId="1" applyAlignment="1" pivotButton="0" quotePrefix="0" xfId="0">
      <alignment vertical="top"/>
    </xf>
    <xf numFmtId="0" fontId="0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0" fillId="0" borderId="13" pivotButton="0" quotePrefix="0" xfId="0"/>
    <xf numFmtId="0" fontId="7" fillId="0" borderId="0" pivotButton="0" quotePrefix="0" xfId="0"/>
    <xf numFmtId="2" fontId="0" fillId="0" borderId="13" pivotButton="0" quotePrefix="0" xfId="0"/>
    <xf numFmtId="164" fontId="0" fillId="0" borderId="13" pivotButton="0" quotePrefix="0" xfId="0"/>
    <xf numFmtId="0" fontId="6" fillId="0" borderId="0" applyAlignment="1" pivotButton="0" quotePrefix="0" xfId="0">
      <alignment vertical="top" wrapText="1"/>
    </xf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0" fillId="0" borderId="3" pivotButton="0" quotePrefix="0" xfId="0"/>
    <xf numFmtId="0" fontId="1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5</col>
      <colOff>381000</colOff>
      <row>27</row>
      <rowOff>171450</rowOff>
    </from>
    <ext cx="3076575" cy="1857375"/>
    <pic>
      <nvPicPr>
        <cNvPr id="1455625779" name="Chart1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161925</colOff>
      <row>27</row>
      <rowOff>171450</rowOff>
    </from>
    <ext cx="2933700" cy="1857375"/>
    <pic>
      <nvPicPr>
        <cNvPr id="1492731732" name="Chart2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571500</colOff>
      <row>27</row>
      <rowOff>171450</rowOff>
    </from>
    <ext cx="2933700" cy="1857375"/>
    <pic>
      <nvPicPr>
        <cNvPr id="1500711905" name="Chart3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style="16" min="1" max="1"/>
    <col width="14" customWidth="1" style="16" min="2" max="2"/>
    <col width="14" customWidth="1" style="16" min="3" max="3"/>
    <col width="14" customWidth="1" style="16" min="4" max="4"/>
    <col width="14" customWidth="1" style="16" min="5" max="5"/>
    <col width="14" customWidth="1" style="16" min="6" max="6"/>
    <col width="14" customWidth="1" style="16" min="7" max="7"/>
    <col width="14" customWidth="1" style="16" min="8" max="8"/>
  </cols>
  <sheetData>
    <row r="1">
      <c r="A1" s="17" t="inlineStr">
        <is>
          <t>Домашнє завдання 1. Описова статистика</t>
        </is>
      </c>
    </row>
    <row r="2">
      <c r="A2" t="inlineStr">
        <is>
          <t>Moiseyenko Svitlana</t>
        </is>
      </c>
    </row>
    <row r="4">
      <c r="C4" s="18" t="inlineStr">
        <is>
          <t>Dataset 1</t>
        </is>
      </c>
      <c r="E4" s="18" t="inlineStr">
        <is>
          <t>Dataset 2</t>
        </is>
      </c>
      <c r="G4" s="18" t="inlineStr">
        <is>
          <t>Dataset 3</t>
        </is>
      </c>
    </row>
    <row r="5">
      <c r="C5" s="19" t="inlineStr">
        <is>
          <t>(симетричні дані)</t>
        </is>
      </c>
      <c r="E5" s="19" t="inlineStr">
        <is>
          <t>(дані з викидом)</t>
        </is>
      </c>
      <c r="G5" s="19" t="inlineStr">
        <is>
          <t>(категорійні / дискретні дані)</t>
        </is>
      </c>
    </row>
    <row r="6">
      <c r="C6" s="20" t="n">
        <v>40</v>
      </c>
      <c r="E6" s="20" t="n">
        <v>5</v>
      </c>
      <c r="G6" s="20" t="n">
        <v>1</v>
      </c>
    </row>
    <row r="7">
      <c r="C7" s="20" t="n">
        <v>45</v>
      </c>
      <c r="E7" s="20" t="n">
        <v>7</v>
      </c>
      <c r="G7" s="20" t="n">
        <v>1</v>
      </c>
    </row>
    <row r="8">
      <c r="C8" s="20" t="n">
        <v>50</v>
      </c>
      <c r="E8" s="20" t="n">
        <v>8</v>
      </c>
      <c r="G8" s="20" t="n">
        <v>2</v>
      </c>
    </row>
    <row r="9">
      <c r="C9" s="20" t="n">
        <v>55</v>
      </c>
      <c r="E9" s="20" t="n">
        <v>9</v>
      </c>
      <c r="G9" s="20" t="n">
        <v>2</v>
      </c>
    </row>
    <row r="10">
      <c r="C10" s="20" t="n">
        <v>60</v>
      </c>
      <c r="E10" s="20" t="n">
        <v>10</v>
      </c>
      <c r="G10" s="20" t="n">
        <v>2</v>
      </c>
    </row>
    <row r="11">
      <c r="C11" s="20" t="n">
        <v>65</v>
      </c>
      <c r="E11" s="20" t="n">
        <v>11</v>
      </c>
      <c r="G11" s="20" t="n">
        <v>3</v>
      </c>
    </row>
    <row r="12">
      <c r="C12" s="20" t="n">
        <v>70</v>
      </c>
      <c r="E12" s="20" t="n">
        <v>12</v>
      </c>
      <c r="G12" s="20" t="n">
        <v>3</v>
      </c>
    </row>
    <row r="13">
      <c r="C13" s="20" t="n">
        <v>75</v>
      </c>
      <c r="E13" s="20" t="n">
        <v>13</v>
      </c>
      <c r="G13" s="20" t="n">
        <v>3</v>
      </c>
    </row>
    <row r="14">
      <c r="C14" s="20" t="n">
        <v>80</v>
      </c>
      <c r="E14" s="20" t="n">
        <v>14</v>
      </c>
      <c r="G14" s="20" t="n">
        <v>3</v>
      </c>
    </row>
    <row r="15">
      <c r="C15" s="20" t="n">
        <v>85</v>
      </c>
      <c r="E15" s="20" t="n">
        <v>100</v>
      </c>
      <c r="G15" s="20" t="n">
        <v>4</v>
      </c>
    </row>
    <row r="16">
      <c r="G16" s="20" t="n">
        <v>4</v>
      </c>
    </row>
    <row r="17">
      <c r="G17" s="20" t="n">
        <v>4</v>
      </c>
    </row>
    <row r="18">
      <c r="G18" s="20" t="n">
        <v>4</v>
      </c>
    </row>
    <row r="19">
      <c r="G19" s="20" t="n">
        <v>4</v>
      </c>
    </row>
    <row r="20">
      <c r="G20" s="20" t="n">
        <v>5</v>
      </c>
    </row>
    <row r="21">
      <c r="G21" s="20" t="n">
        <v>5</v>
      </c>
    </row>
    <row r="22">
      <c r="G22" s="20" t="n">
        <v>5</v>
      </c>
    </row>
    <row r="23">
      <c r="G23" s="20" t="n">
        <v>5</v>
      </c>
    </row>
    <row r="24">
      <c r="G24" s="20" t="n">
        <v>5</v>
      </c>
    </row>
    <row r="26">
      <c r="A26" s="18" t="inlineStr">
        <is>
          <t>Показник</t>
        </is>
      </c>
      <c r="C26" s="18" t="inlineStr">
        <is>
          <t>Dataset 1</t>
        </is>
      </c>
      <c r="E26" s="18" t="inlineStr">
        <is>
          <t>Dataset 2</t>
        </is>
      </c>
      <c r="G26" s="18" t="inlineStr">
        <is>
          <t>Dataset 3</t>
        </is>
      </c>
    </row>
    <row r="27">
      <c r="A27" s="21" t="inlineStr">
        <is>
          <t>n (кількість)</t>
        </is>
      </c>
      <c r="C27" s="22">
        <f>COUNT(C6:C24)</f>
        <v/>
      </c>
      <c r="E27" s="22">
        <f>COUNT(E6:E24)</f>
        <v/>
      </c>
      <c r="G27" s="22">
        <f>COUNT(G6:G24)</f>
        <v/>
      </c>
    </row>
    <row r="28">
      <c r="A28" s="21" t="inlineStr">
        <is>
          <t>Середнє</t>
        </is>
      </c>
      <c r="C28" s="22">
        <f>AVERAGE(C6:C24)</f>
        <v/>
      </c>
      <c r="E28" s="22">
        <f>AVERAGE(E6:E24)</f>
        <v/>
      </c>
      <c r="G28" s="22">
        <f>AVERAGE(G6:G24)</f>
        <v/>
      </c>
    </row>
    <row r="29">
      <c r="A29" s="21" t="inlineStr">
        <is>
          <t>Медіана</t>
        </is>
      </c>
      <c r="C29" s="22">
        <f>MEDIAN(C6:C24)</f>
        <v/>
      </c>
      <c r="E29" s="22">
        <f>MEDIAN(E6:E24)</f>
        <v/>
      </c>
      <c r="G29" s="22">
        <f>MEDIAN(G6:G24)</f>
        <v/>
      </c>
    </row>
    <row r="30">
      <c r="A30" s="21" t="inlineStr">
        <is>
          <t>Мода</t>
        </is>
      </c>
      <c r="C30" s="22">
        <f>MODE(C6:C24)</f>
        <v/>
      </c>
      <c r="E30" s="22">
        <f>MODE(E6:E24)</f>
        <v/>
      </c>
      <c r="G30" s="22">
        <f>MODE(G6:G24)</f>
        <v/>
      </c>
    </row>
    <row r="31">
      <c r="A31" s="21" t="inlineStr">
        <is>
          <t>Дисперсія (генеральна, VAR.P)</t>
        </is>
      </c>
      <c r="C31" s="22">
        <f>VAR.P(C6:C24)</f>
        <v/>
      </c>
      <c r="E31" s="22">
        <f>VAR.P(E6:E24)</f>
        <v/>
      </c>
      <c r="G31" s="22">
        <f>VAR.P(G6:G24)</f>
        <v/>
      </c>
    </row>
    <row r="32">
      <c r="A32" s="21" t="inlineStr">
        <is>
          <t>Стандартне відхилення (генеральне, STDEV.P)</t>
        </is>
      </c>
      <c r="C32" s="22">
        <f>STDEV.P(C6:C24)</f>
        <v/>
      </c>
      <c r="E32" s="22">
        <f>STDEV.P(E6:E24)</f>
        <v/>
      </c>
      <c r="G32" s="22">
        <f>STDEV.P(G6:G24)</f>
        <v/>
      </c>
    </row>
    <row r="33">
      <c r="A33" s="21" t="inlineStr">
        <is>
          <t>Дисперсія (вибіркова, VAR.S)</t>
        </is>
      </c>
      <c r="C33" s="22">
        <f>VAR.S(C6:C24)</f>
        <v/>
      </c>
      <c r="E33" s="22">
        <f>VAR.S(E6:E24)</f>
        <v/>
      </c>
      <c r="G33" s="22">
        <f>VAR.S(G6:G24)</f>
        <v/>
      </c>
    </row>
    <row r="34">
      <c r="A34" s="21" t="inlineStr">
        <is>
          <t>Стандартне відхилення (вибіркове, STDEV.S)</t>
        </is>
      </c>
      <c r="C34" s="22">
        <f>STDEV.S(C6:C24)</f>
        <v/>
      </c>
      <c r="E34" s="22">
        <f>STDEV.S(E6:E24)</f>
        <v/>
      </c>
      <c r="G34" s="22">
        <f>STDEV.S(G6:G24)</f>
        <v/>
      </c>
    </row>
    <row r="35">
      <c r="A35" s="21" t="inlineStr">
        <is>
          <t>Мінімум</t>
        </is>
      </c>
      <c r="C35" s="22">
        <f>MIN(C6:C24)</f>
        <v/>
      </c>
      <c r="E35" s="22">
        <f>MIN(E6:E24)</f>
        <v/>
      </c>
      <c r="G35" s="22">
        <f>MIN(G6:G24)</f>
        <v/>
      </c>
    </row>
    <row r="36">
      <c r="A36" s="21" t="inlineStr">
        <is>
          <t>Максимум</t>
        </is>
      </c>
      <c r="C36" s="22">
        <f>MAX(C6:C24)</f>
        <v/>
      </c>
      <c r="E36" s="22">
        <f>MAX(E6:E24)</f>
        <v/>
      </c>
      <c r="G36" s="22">
        <f>MAX(G6:G24)</f>
        <v/>
      </c>
    </row>
    <row r="37">
      <c r="A37" s="21" t="inlineStr">
        <is>
          <t>Середнє − Медіана</t>
        </is>
      </c>
      <c r="C37" s="22">
        <f>C28-C29</f>
        <v/>
      </c>
      <c r="E37" s="22">
        <f>E28-E29</f>
        <v/>
      </c>
      <c r="G37" s="22">
        <f>G28-G29</f>
        <v/>
      </c>
    </row>
    <row r="38">
      <c r="A38" s="21" t="inlineStr">
        <is>
          <t>Коефіцієнт варіації (STDEV.P / Середнє)</t>
        </is>
      </c>
      <c r="C38" s="23">
        <f>C32/C28</f>
        <v/>
      </c>
      <c r="E38" s="23">
        <f>E32/E28</f>
        <v/>
      </c>
      <c r="G38" s="23">
        <f>G32/G28</f>
        <v/>
      </c>
    </row>
    <row r="39" ht="42" customHeight="1" s="16">
      <c r="A39" s="24" t="inlineStr">
        <is>
          <t>Примітка: Dataset 3 бімодальний (4 і 5 зустрічаються по 5 разів); функція MODE повертає лише перше значення (4). У Dataset 1 і 2 всі значення унікальні, моди немає (MODE поверне #N/A).</t>
        </is>
      </c>
    </row>
    <row r="41">
      <c r="A41" s="18" t="inlineStr">
        <is>
          <t>Частоти Dataset 3</t>
        </is>
      </c>
      <c r="B41" s="21" t="inlineStr">
        <is>
          <t>Значення</t>
        </is>
      </c>
      <c r="C41" s="21" t="inlineStr">
        <is>
          <t>Частота</t>
        </is>
      </c>
    </row>
    <row r="42">
      <c r="B42" s="20" t="n">
        <v>1</v>
      </c>
      <c r="C42" s="20">
        <f>COUNTIF(G6:G24,B42)</f>
        <v/>
      </c>
    </row>
    <row r="43">
      <c r="B43" s="20" t="n">
        <v>2</v>
      </c>
      <c r="C43" s="20">
        <f>COUNTIF(G6:G24,B43)</f>
        <v/>
      </c>
    </row>
    <row r="44">
      <c r="B44" s="20" t="n">
        <v>3</v>
      </c>
      <c r="C44" s="20">
        <f>COUNTIF(G6:G24,B44)</f>
        <v/>
      </c>
    </row>
    <row r="45">
      <c r="B45" s="20" t="n">
        <v>4</v>
      </c>
      <c r="C45" s="20">
        <f>COUNTIF(G6:G24,B45)</f>
        <v/>
      </c>
    </row>
    <row r="46">
      <c r="B46" s="20" t="n">
        <v>5</v>
      </c>
      <c r="C46" s="20">
        <f>COUNTIF(G6:G24,B46)</f>
        <v/>
      </c>
    </row>
    <row r="48">
      <c r="A48" s="25" t="inlineStr">
        <is>
          <t>Аналіз</t>
        </is>
      </c>
    </row>
    <row r="49">
      <c r="A49" s="21" t="inlineStr">
        <is>
          <t>Dataset 1 (40…85)</t>
        </is>
      </c>
    </row>
    <row r="50" ht="90" customHeight="1" s="16">
      <c r="A50" s="26" t="inlineStr">
        <is>
          <t>Середнє = 62,5, медіана = 62,5. Вони збігаються, отже розподіл симетричний, без скосу та без викидів. Мода відсутня: кожне значення зустрічається один раз, тому мода не є інформативною для цього набору. Дисперсія = 206,25, стандартне відхилення ≈ 14,36 (генеральні; вибіркові 229,17 та 15,14). Значення рівномірно розкидані з кроком 5 навколо центру, типове відхилення від середнього ≈ 14,4, коефіцієнт варіації ≈ 23 % — розсіювання помірне, дані однорідні. Для такого набору середнє є надійною мірою центру.</t>
        </is>
      </c>
    </row>
    <row r="51">
      <c r="A51" s="21" t="inlineStr">
        <is>
          <t>Dataset 2 (5…14 та 100)</t>
        </is>
      </c>
    </row>
    <row r="52" ht="135" customHeight="1" s="16">
      <c r="A52" s="26" t="inlineStr">
        <is>
          <t>Середнє = 18,9, медіана = 10,5. Середнє майже вдвічі більше за медіану — це ознака сильної правосторонньої асиметрії, спричиненої одним викидом (100). Без викиду середнє дорівнювало б 9,9, тобто одне значення «тягне» середнє на +9. Медіана стійка до викиду і краще описує «типове» значення (9 з 10 спостережень лежать у діапазоні 5–14). Мода відсутня (усі значення унікальні). Дисперсія = 737,69, стандартне відхилення ≈ 27,16 (генеральні; вибіркові 819,66 та 28,63) — стандартне відхилення більше за медіану, коефіцієнт варіації ≈ 144 %. Таке величезне розсіювання майже повністю зумовлене викидом: без нього стандартне відхилення було б ≈ 2,8. Висновок: середнє та стандартне відхилення тут вводять в оману; слід використовувати медіану та міжквартильний розмах або окремо перевірити викид.</t>
        </is>
      </c>
    </row>
    <row r="53">
      <c r="A53" s="21" t="inlineStr">
        <is>
          <t>Dataset 3 (1…5, з повтореннями)</t>
        </is>
      </c>
    </row>
    <row r="54" ht="120" customHeight="1" s="16">
      <c r="A54" s="26" t="inlineStr">
        <is>
          <t>Середнє ≈ 3,42, медіана = 4. Медіана більша за середнє — розподіл має лівосторонній (негативний) скіс: більшість спостережень зосереджені у верхніх категоріях (4 і 5), а «хвіст» тягнеться до 1–2. Мода = 4 і 5 (розподіл бімодальний, кожне значення зустрічається по 5 разів; Excel MODE поверне 4). Для категорійних / дискретних даних (наприклад, оцінки 1–5) саме мода є найінформативнішою мірою: вона показує найпоширеніший вибір. Частоти зростають від 2 (значення 1) до 5 (значення 4 і 5). Дисперсія ≈ 1,72, стандартне відхилення ≈ 1,31 (генеральні; вибіркові 1,81 та 1,35). Абсолютне розсіювання мале, але відносно шкали 1–5 воно значне (коефіцієнт варіації ≈ 38 %): відповіді розподілені по всій шкалі, а не сконцентровані в одній точці.</t>
        </is>
      </c>
    </row>
    <row r="55">
      <c r="A55" s="21" t="inlineStr">
        <is>
          <t>Загальний висновок</t>
        </is>
      </c>
    </row>
    <row r="56" ht="105" customHeight="1" s="16">
      <c r="A56" s="26" t="inlineStr">
        <is>
          <t>Коли середнє ≈ медіана (Dataset 1) — розподіл симетричний, і середнє добре описує центр. Коли середнє &gt; медіани (Dataset 2) — є правий скіс або викиди, і краще спиратися на медіану. Коли середнє &lt; медіани (Dataset 3) — є лівий скіс. Мода корисна лише для даних із повтореннями (категорійних або дискретних), для неперервних унікальних значень вона не визначена. Стандартне відхилення чутливе до викидів: у Dataset 2 один викид збільшив його майже в 10 разів. Порівнювати розсіювання різних наборів коректніше через коефіцієнт варіації, а не через абсолютне стандартне відхилення.</t>
        </is>
      </c>
    </row>
  </sheetData>
  <mergeCells count="6">
    <mergeCell ref="A50:H50"/>
    <mergeCell ref="A56:H56"/>
    <mergeCell ref="A48:H48"/>
    <mergeCell ref="A39:H39"/>
    <mergeCell ref="A54:H54"/>
    <mergeCell ref="A52:H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5" customWidth="1" style="16" min="2" max="2"/>
    <col width="16.75" customWidth="1" style="16" min="3" max="3"/>
    <col width="23.88" customWidth="1" style="16" min="4" max="4"/>
    <col width="20.88" customWidth="1" style="16" min="5" max="5"/>
    <col width="25" customWidth="1" style="16" min="6" max="6"/>
    <col width="21.13" customWidth="1" style="16" min="7" max="7"/>
  </cols>
  <sheetData>
    <row r="1">
      <c r="A1" s="9" t="n"/>
      <c r="C1" s="2" t="inlineStr">
        <is>
          <t>dataset1</t>
        </is>
      </c>
      <c r="E1" s="2" t="inlineStr">
        <is>
          <t>dataset2</t>
        </is>
      </c>
      <c r="G1" s="2" t="inlineStr">
        <is>
          <t>dataset3</t>
        </is>
      </c>
    </row>
    <row r="2">
      <c r="C2" s="2" t="inlineStr">
        <is>
          <t>(симетричні дані)</t>
        </is>
      </c>
      <c r="E2" s="2" t="inlineStr">
        <is>
          <t>(скошені дані)</t>
        </is>
      </c>
      <c r="G2" s="2" t="inlineStr">
        <is>
          <t>(категорійні дані)</t>
        </is>
      </c>
    </row>
    <row r="3">
      <c r="A3" s="9" t="n"/>
      <c r="C3" s="4" t="n">
        <v>50</v>
      </c>
      <c r="E3" s="4" t="n">
        <v>10</v>
      </c>
      <c r="G3" s="4" t="n">
        <v>1</v>
      </c>
    </row>
    <row r="4">
      <c r="C4" s="4" t="n">
        <v>55</v>
      </c>
      <c r="E4" s="4" t="n">
        <v>12</v>
      </c>
      <c r="G4" s="4" t="n">
        <v>2</v>
      </c>
    </row>
    <row r="5">
      <c r="C5" s="4" t="n">
        <v>60</v>
      </c>
      <c r="E5" s="4" t="n">
        <v>14</v>
      </c>
      <c r="G5" s="4" t="n">
        <v>2</v>
      </c>
    </row>
    <row r="6">
      <c r="C6" s="4" t="n">
        <v>65</v>
      </c>
      <c r="E6" s="4" t="n">
        <v>16</v>
      </c>
      <c r="G6" s="4" t="n">
        <v>3</v>
      </c>
    </row>
    <row r="7">
      <c r="C7" s="4" t="n">
        <v>70</v>
      </c>
      <c r="E7" s="4" t="n">
        <v>18</v>
      </c>
      <c r="G7" s="4" t="n">
        <v>3</v>
      </c>
    </row>
    <row r="8">
      <c r="C8" s="4" t="n">
        <v>75</v>
      </c>
      <c r="E8" s="4" t="n">
        <v>20</v>
      </c>
      <c r="G8" s="4" t="n">
        <v>3</v>
      </c>
    </row>
    <row r="9">
      <c r="C9" s="4" t="n">
        <v>80</v>
      </c>
      <c r="E9" s="4" t="n">
        <v>22</v>
      </c>
      <c r="G9" s="4" t="n">
        <v>4</v>
      </c>
    </row>
    <row r="10">
      <c r="C10" s="4" t="n">
        <v>85</v>
      </c>
      <c r="E10" s="4" t="n">
        <v>24</v>
      </c>
      <c r="G10" s="4" t="n">
        <v>4</v>
      </c>
    </row>
    <row r="11">
      <c r="C11" s="4" t="n">
        <v>90</v>
      </c>
      <c r="E11" s="4" t="n">
        <v>26</v>
      </c>
      <c r="G11" s="4" t="n">
        <v>4</v>
      </c>
    </row>
    <row r="12">
      <c r="C12" s="4" t="n">
        <v>95</v>
      </c>
      <c r="E12" s="4" t="n">
        <v>100</v>
      </c>
      <c r="G12" s="4" t="n">
        <v>4</v>
      </c>
    </row>
    <row r="13">
      <c r="C13" s="4" t="n"/>
      <c r="E13" s="4" t="n"/>
      <c r="G13" s="4" t="n">
        <v>5</v>
      </c>
    </row>
    <row r="14">
      <c r="C14" s="4" t="n"/>
      <c r="E14" s="4" t="n"/>
      <c r="G14" s="4" t="n">
        <v>5</v>
      </c>
    </row>
    <row r="15">
      <c r="C15" s="4" t="n"/>
      <c r="E15" s="4" t="n"/>
      <c r="G15" s="4" t="n">
        <v>5</v>
      </c>
    </row>
    <row r="16">
      <c r="C16" s="4" t="n"/>
      <c r="E16" s="4" t="n"/>
      <c r="G16" s="4" t="n">
        <v>5</v>
      </c>
    </row>
    <row r="17">
      <c r="C17" s="4" t="n"/>
      <c r="E17" s="4" t="n"/>
      <c r="G17" s="4" t="n">
        <v>5</v>
      </c>
    </row>
    <row r="18">
      <c r="A18" s="5" t="n"/>
    </row>
    <row r="19">
      <c r="A19" s="27" t="inlineStr">
        <is>
          <t>Середньє значення</t>
        </is>
      </c>
      <c r="B19" s="28" t="n"/>
      <c r="C19" s="15">
        <f>AVERAGE(C3:C17)</f>
        <v/>
      </c>
      <c r="D19" s="29" t="n"/>
      <c r="E19" s="15">
        <f>AVERAGE(E3:E17)</f>
        <v/>
      </c>
      <c r="F19" s="29" t="n"/>
      <c r="G19" s="15">
        <f>AVERAGE(G3:G17)</f>
        <v/>
      </c>
    </row>
    <row r="20" ht="10.5" customHeight="1" s="16">
      <c r="A20" s="30" t="n"/>
      <c r="B20" s="31" t="n"/>
      <c r="C20" s="32" t="n"/>
      <c r="E20" s="32" t="n"/>
      <c r="G20" s="32" t="n"/>
    </row>
    <row r="21">
      <c r="A21" s="27" t="inlineStr">
        <is>
          <t>Медіана</t>
        </is>
      </c>
      <c r="B21" s="28" t="n"/>
      <c r="C21" s="15">
        <f>MEDIAN(C3:C17)</f>
        <v/>
      </c>
      <c r="E21" s="15">
        <f>MEDIAN(E3:E17)</f>
        <v/>
      </c>
      <c r="G21" s="15">
        <f>MEDIAN(G3:G17)</f>
        <v/>
      </c>
    </row>
    <row r="22" ht="7.5" customHeight="1" s="16">
      <c r="A22" s="30" t="n"/>
      <c r="B22" s="31" t="n"/>
      <c r="C22" s="32" t="n"/>
      <c r="E22" s="32" t="n"/>
      <c r="G22" s="32" t="n"/>
    </row>
    <row r="23">
      <c r="A23" s="27" t="inlineStr">
        <is>
          <t>Мода</t>
        </is>
      </c>
      <c r="B23" s="28" t="n"/>
      <c r="C23" s="15">
        <f>MODE(C3:C17)</f>
        <v/>
      </c>
      <c r="E23" s="15">
        <f>MODE(E3:E17)</f>
        <v/>
      </c>
      <c r="G23" s="15">
        <f>MODE(G3:G17)</f>
        <v/>
      </c>
    </row>
    <row r="24" ht="6.75" customHeight="1" s="16">
      <c r="A24" s="30" t="n"/>
      <c r="B24" s="31" t="n"/>
      <c r="C24" s="32" t="n"/>
      <c r="E24" s="32" t="n"/>
      <c r="G24" s="32" t="n"/>
    </row>
    <row r="25">
      <c r="A25" s="27" t="inlineStr">
        <is>
          <t>Дисперсія</t>
        </is>
      </c>
      <c r="B25" s="28" t="n"/>
      <c r="C25" s="15">
        <f>VARP(C3:C17)</f>
        <v/>
      </c>
      <c r="E25" s="15">
        <f>VARP(E3:E17)</f>
        <v/>
      </c>
      <c r="G25" s="15">
        <f>VARP(G3:G17)</f>
        <v/>
      </c>
    </row>
    <row r="26" ht="4.5" customHeight="1" s="16">
      <c r="A26" s="30" t="n"/>
      <c r="B26" s="31" t="n"/>
      <c r="C26" s="32" t="n"/>
      <c r="E26" s="32" t="n"/>
      <c r="G26" s="32" t="n"/>
    </row>
    <row r="27">
      <c r="A27" s="4" t="inlineStr">
        <is>
          <t>Стандартне відхилення</t>
        </is>
      </c>
      <c r="B27" s="4" t="n"/>
      <c r="C27" s="4">
        <f>STDEVP(C3:C17)</f>
        <v/>
      </c>
      <c r="D27" s="33" t="n"/>
      <c r="E27" s="15">
        <f>STDEVP(E3:E17)</f>
        <v/>
      </c>
      <c r="F27" s="33" t="n"/>
      <c r="G27" s="15">
        <f>STDEVP(G3:G17)</f>
        <v/>
      </c>
    </row>
  </sheetData>
  <mergeCells count="26">
    <mergeCell ref="G23:G24"/>
    <mergeCell ref="H3:H27"/>
    <mergeCell ref="E23:E24"/>
    <mergeCell ref="A3:B17"/>
    <mergeCell ref="A21:B22"/>
    <mergeCell ref="E19:E20"/>
    <mergeCell ref="G19:G20"/>
    <mergeCell ref="F3:F17"/>
    <mergeCell ref="A23:B24"/>
    <mergeCell ref="C25:C26"/>
    <mergeCell ref="A19:B20"/>
    <mergeCell ref="C21:C22"/>
    <mergeCell ref="D3:D17"/>
    <mergeCell ref="C23:C24"/>
    <mergeCell ref="G25:G26"/>
    <mergeCell ref="D19:D27"/>
    <mergeCell ref="A1:B2"/>
    <mergeCell ref="F19:F27"/>
    <mergeCell ref="C19:C20"/>
    <mergeCell ref="E25:E26"/>
    <mergeCell ref="A18:G18"/>
    <mergeCell ref="E21:E22"/>
    <mergeCell ref="G21:G22"/>
    <mergeCell ref="D1:D2"/>
    <mergeCell ref="F1:F2"/>
    <mergeCell ref="A25:B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2026-09-13T18:14:28Z</dcterms:created>
  <dcterms:modified xmlns:dcterms="http://purl.org/dc/terms/" xmlns:xsi="http://www.w3.org/2001/XMLSchema-instance" xsi:type="dcterms:W3CDTF">2026-09-13T18:14:28Z</dcterms:modified>
</cp:coreProperties>
</file>